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61dad0aa6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24c140000f1945fe"/>
    <x:sheet xmlns:r="http://schemas.openxmlformats.org/officeDocument/2006/relationships" name="Comparación" sheetId="2" r:id="R9fbb4e12b28549ca"/>
    <x:sheet xmlns:r="http://schemas.openxmlformats.org/officeDocument/2006/relationships" name="Guía" sheetId="3" r:id="Ree0ee674a8bd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sz val="11"/>
      <x:color rgb="FF1E3A8A"/>
      <x:name val="Carlito"/>
    </x:font>
    <x:font>
      <x:b/>
      <x:sz val="16"/>
      <x:color rgb="FFFFFFFF"/>
      <x:name val="Carlito"/>
    </x:font>
    <x:font>
      <x:b/>
      <x:sz val="11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6DC"/>
      </x:patternFill>
    </x:fill>
    <x:fill>
      <x:patternFill patternType="solid">
        <x:fgColor rgb="FFE8F3FF"/>
      </x:patternFill>
    </x:fill>
    <x:fill>
      <x:patternFill patternType="solid">
        <x:fgColor rgb="FF2563EB"/>
      </x:patternFill>
    </x:fill>
    <x:fill>
      <x:patternFill patternType="solid">
        <x:fgColor rgb="FFEDF4FA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2a6dc05a34d68" /><Relationship Type="http://schemas.openxmlformats.org/officeDocument/2006/relationships/theme" Target="/xl/theme/theme1.xml" Id="R7e742dae3d0640af" /><Relationship Type="http://schemas.openxmlformats.org/officeDocument/2006/relationships/sharedStrings" Target="/xl/sharedStrings.xml" Id="R0ecc6e3f16f446dd" /><Relationship Type="http://schemas.openxmlformats.org/officeDocument/2006/relationships/worksheet" Target="/xl/worksheets/sheet1.xml" Id="R24c140000f1945fe" /><Relationship Type="http://schemas.openxmlformats.org/officeDocument/2006/relationships/worksheet" Target="/xl/worksheets/sheet2.xml" Id="R9fbb4e12b28549ca" /><Relationship Type="http://schemas.openxmlformats.org/officeDocument/2006/relationships/worksheet" Target="/xl/worksheets/sheet3.xml" Id="Ree0ee674a8bd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0dbb48d5a4447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Calidad</c:v>
          </c:tx>
          <c:cat>
            <c:strRef>
              <c:f>'Comparación'!$A$6:$A$8</c:f>
              <c:strCache>
                <c:ptCount val="0"/>
              </c:strCache>
            </c:strRef>
          </c:cat>
          <c:val>
            <c:numRef>
              <c:f>'Comparación'!$C$6:$C$8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0dbb48d5a4447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56d97f67354b4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38" hidden="0" customWidth="1"/>
  </x:cols>
  <x:sheetData>
    <x:row r="1" ht="34" customHeight="1">
      <x:c r="A1" s="5" t="str">
        <x:v>Ensayo</x:v>
      </x:c>
      <x:c r="B1" s="5" t="str">
        <x:v>Tipo de prompt</x:v>
      </x:c>
      <x:c r="C1" s="5" t="str">
        <x:v>Commit</x:v>
      </x:c>
      <x:c r="D1" s="5" t="str">
        <x:v>Fidelidad (0-4)</x:v>
      </x:c>
      <x:c r="E1" s="5" t="str">
        <x:v>Completitud (0-4)</x:v>
      </x:c>
      <x:c r="F1" s="5" t="str">
        <x:v>Verificabilidad (0-4)</x:v>
      </x:c>
      <x:c r="G1" s="5" t="str">
        <x:v>Seguridad (0-4)</x:v>
      </x:c>
      <x:c r="H1" s="5" t="str">
        <x:v>Trazabilidad (0-4)</x:v>
      </x:c>
      <x:c r="I1" s="5" t="str">
        <x:v>Invenciones (n)</x:v>
      </x:c>
      <x:c r="J1" s="5" t="str">
        <x:v>Pruebas OK</x:v>
      </x:c>
      <x:c r="K1" s="5" t="str">
        <x:v>Pruebas total</x:v>
      </x:c>
      <x:c r="L1" s="5" t="str">
        <x:v>Tiempo (min)</x:v>
      </x:c>
      <x:c r="M1" s="5" t="str">
        <x:v>Revisor</x:v>
      </x:c>
      <x:c r="N1" s="5" t="str">
        <x:v>Evidencia</x:v>
      </x:c>
    </x:row>
    <x:row r="2" ht="31" customHeight="1">
      <x:c r="A2" s="12" t="str">
        <x:v>P1</x:v>
      </x:c>
      <x:c r="B2" s="12" t="str">
        <x:v>Mínimo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31" customHeight="1">
      <x:c r="A3" s="12" t="str">
        <x:v>P2</x:v>
      </x:c>
      <x:c r="B3" s="12" t="str">
        <x:v>Contextualizado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31" customHeight="1">
      <x:c r="A4" s="12" t="str">
        <x:v>P3</x:v>
      </x:c>
      <x:c r="B4" s="12" t="str">
        <x:v>Controlado</x:v>
      </x:c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</x:sheetData>
  <x:dataValidations count="1">
    <x:dataValidation type="list" sqref="D2:H4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</x:cols>
  <x:sheetData>
    <x:row r="1" ht="26" customHeight="1">
      <x:c r="A1" s="15" t="str">
        <x:v>T1  |  Comparación de resultados con Kiro</x:v>
      </x:c>
      <x:c r="B1" s="15"/>
      <x:c r="C1" s="15"/>
      <x:c r="D1" s="15"/>
      <x:c r="E1" s="15"/>
      <x:c r="F1" s="15"/>
      <x:c r="G1" s="15"/>
    </x:row>
    <x:row r="2" ht="26" customHeight="1">
      <x:c r="A2" s="15"/>
      <x:c r="B2" s="15"/>
      <x:c r="C2" s="15"/>
      <x:c r="D2" s="15"/>
      <x:c r="E2" s="15"/>
      <x:c r="F2" s="15"/>
      <x:c r="G2" s="15"/>
    </x:row>
    <x:row r="3">
      <x:c r="A3" s="18" t="str">
        <x:v>Completa las celdas amarillas en Registro. No se atribuyen valores a ensayos sin evaluar.</x:v>
      </x:c>
      <x:c r="B3"/>
      <x:c r="C3"/>
      <x:c r="D3"/>
      <x:c r="E3"/>
      <x:c r="F3"/>
      <x:c r="G3"/>
    </x:row>
    <x:row r="5" ht="26" customHeight="1">
      <x:c r="A5" s="22" t="str">
        <x:v>Ensayo</x:v>
      </x:c>
      <x:c r="B5" s="22" t="str">
        <x:v>Prompt</x:v>
      </x:c>
      <x:c r="C5" s="22" t="str">
        <x:v>Calidad (%)</x:v>
      </x:c>
      <x:c r="D5" s="22" t="str">
        <x:v>Invenciones</x:v>
      </x:c>
      <x:c r="E5" s="22" t="str">
        <x:v>Pruebas OK (%)</x:v>
      </x:c>
      <x:c r="F5" s="22" t="str">
        <x:v>Tiempo (min)</x:v>
      </x:c>
      <x:c r="G5" s="22" t="str">
        <x:v>Estado</x:v>
      </x:c>
    </x:row>
    <x:row r="6" ht="30" customHeight="1">
      <x:c r="A6" t="str">
        <x:v>P1</x:v>
      </x:c>
      <x:c r="B6" t="str">
        <x:v>Mínimo</x:v>
      </x:c>
      <x:c r="C6" s="26" t="str">
        <x:f>IF(COUNT(Registro!D2:H2)=5,SUM(Registro!D2:H2)/20*100,"")</x:f>
      </x:c>
      <x:c r="D6" s="26" t="str">
        <x:f>IF(Registro!I2="","",Registro!I2)</x:f>
      </x:c>
      <x:c r="E6" s="26" t="str">
        <x:f>IF(OR(Registro!J2="",Registro!K2="",Registro!K2=0),"",Registro!J2/Registro!K2*100)</x:f>
      </x:c>
      <x:c r="F6" s="26" t="str">
        <x:f>IF(Registro!L2="","",Registro!L2)</x:f>
      </x:c>
      <x:c r="G6" t="str">
        <x:f>IF(AND(C6&lt;&gt;"",D6&lt;&gt;"",Registro!J2&lt;&gt;"",Registro!K2&lt;&gt;"",F6&lt;&gt;""),"Evaluado","Pendiente")</x:f>
        <x:v>Pendiente</x:v>
      </x:c>
    </x:row>
    <x:row r="7" ht="30" customHeight="1">
      <x:c r="A7" t="str">
        <x:v>P2</x:v>
      </x:c>
      <x:c r="B7" t="str">
        <x:v>Contextualizado</x:v>
      </x:c>
      <x:c r="C7" s="26" t="str">
        <x:f>IF(COUNT(Registro!D3:H3)=5,SUM(Registro!D3:H3)/20*100,"")</x:f>
      </x:c>
      <x:c r="D7" s="26" t="str">
        <x:f>IF(Registro!I3="","",Registro!I3)</x:f>
      </x:c>
      <x:c r="E7" s="26" t="str">
        <x:f>IF(OR(Registro!J3="",Registro!K3="",Registro!K3=0),"",Registro!J3/Registro!K3*100)</x:f>
      </x:c>
      <x:c r="F7" s="26" t="str">
        <x:f>IF(Registro!L3="","",Registro!L3)</x:f>
      </x:c>
      <x:c r="G7" t="str">
        <x:f>IF(AND(C7&lt;&gt;"",D7&lt;&gt;"",Registro!J3&lt;&gt;"",Registro!K3&lt;&gt;"",F7&lt;&gt;""),"Evaluado","Pendiente")</x:f>
        <x:v>Pendiente</x:v>
      </x:c>
    </x:row>
    <x:row r="8" ht="30" customHeight="1">
      <x:c r="A8" t="str">
        <x:v>P3</x:v>
      </x:c>
      <x:c r="B8" t="str">
        <x:v>Controlado</x:v>
      </x:c>
      <x:c r="C8" s="26" t="str">
        <x:f>IF(COUNT(Registro!D4:H4)=5,SUM(Registro!D4:H4)/20*100,"")</x:f>
      </x:c>
      <x:c r="D8" s="26" t="str">
        <x:f>IF(Registro!I4="","",Registro!I4)</x:f>
      </x:c>
      <x:c r="E8" s="26" t="str">
        <x:f>IF(OR(Registro!J4="",Registro!K4="",Registro!K4=0),"",Registro!J4/Registro!K4*100)</x:f>
      </x:c>
      <x:c r="F8" s="26" t="str">
        <x:f>IF(Registro!L4="","",Registro!L4)</x:f>
      </x:c>
      <x:c r="G8" t="str">
        <x:f>IF(AND(C8&lt;&gt;"",D8&lt;&gt;"",Registro!J4&lt;&gt;"",Registro!K4&lt;&gt;"",F8&lt;&gt;""),"Evaluado","Pendiente")</x:f>
        <x:v>Pendiente</x:v>
      </x:c>
    </x:row>
    <x:row r="11" ht="25" customHeight="1">
      <x:c r="A11" s="29" t="str">
        <x:v>Calidad = suma de 5 criterios (0 a 4) ÷ 20 × 100. Invenciones se cuentan por separado.</x:v>
      </x:c>
      <x:c r="B11" s="29"/>
      <x:c r="C11" s="29"/>
      <x:c r="D11" s="29"/>
      <x:c r="E11" s="29"/>
      <x:c r="F11" s="29"/>
      <x:c r="G11" s="29"/>
    </x:row>
  </x:sheetData>
  <x:mergeCells>
    <x:mergeCell ref="A1:G2"/>
    <x:mergeCell ref="A3:G3"/>
    <x:mergeCell ref="A11:G11"/>
  </x:mergeCells>
  <x:pageMargins left="0.7" right="0.7" top="0.75" bottom="0.75" header="0.3" footer="0.3"/>
  <x:drawing xmlns:r="http://schemas.openxmlformats.org/officeDocument/2006/relationships" r:id="Rda56d97f67354b4e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3" hidden="0" customWidth="1"/>
  </x:cols>
  <x:sheetData>
    <x:row r="1" ht="27" customHeight="1">
      <x:c r="A1" s="32" t="str">
        <x:v>Cómo utilizar la plantilla T1</x:v>
      </x:c>
      <x:c r="B1" s="32"/>
      <x:c r="C1" s="32"/>
      <x:c r="D1" s="32"/>
      <x:c r="E1" s="32"/>
      <x:c r="F1" s="32"/>
    </x:row>
    <x:row r="2" ht="27" customHeight="1">
      <x:c r="A2" s="32"/>
      <x:c r="B2" s="32"/>
      <x:c r="C2" s="32"/>
      <x:c r="D2" s="32"/>
      <x:c r="E2" s="32"/>
      <x:c r="F2" s="32"/>
    </x:row>
    <x:row r="4" ht="26" customHeight="1">
      <x:c r="A4" s="35" t="str">
        <x:v>1</x:v>
      </x:c>
      <x:c r="B4" t="str">
        <x:v>Ejecuta los tres prompts en ramas independientes desde el mismo commit base.</x:v>
      </x:c>
    </x:row>
    <x:row r="5" ht="26" customHeight="1">
      <x:c r="A5" s="35" t="str">
        <x:v>2</x:v>
      </x:c>
      <x:c r="B5" t="str">
        <x:v>Puntúa cada dimensión con 0 a 4 usando evaluacion/rubrica.md del repositorio.</x:v>
      </x:c>
    </x:row>
    <x:row r="6" ht="26" customHeight="1">
      <x:c r="A6" s="35" t="str">
        <x:v>3</x:v>
      </x:c>
      <x:c r="B6" t="str">
        <x:v>Ingresa datos SOLO en las celdas amarillas de Registro.</x:v>
      </x:c>
    </x:row>
    <x:row r="7" ht="26" customHeight="1">
      <x:c r="A7" s="35" t="str">
        <x:v>4</x:v>
      </x:c>
      <x:c r="B7" t="str">
        <x:v>Cuenta invenciones no respaldadas por la HU; 0 significa que comprobaste ausencia.</x:v>
      </x:c>
    </x:row>
    <x:row r="8" ht="26" customHeight="1">
      <x:c r="A8" s="35" t="str">
        <x:v>5</x:v>
      </x:c>
      <x:c r="B8" t="str">
        <x:v>Ingresa exclusivamente resultados de pruebas realmente ejecutadas.</x:v>
      </x:c>
    </x:row>
    <x:row r="9" ht="26" customHeight="1">
      <x:c r="A9" s="35" t="str">
        <x:v>6</x:v>
      </x:c>
      <x:c r="B9" t="str">
        <x:v>Compara las cifras y comprueba commits, capturas y logs.</x:v>
      </x:c>
    </x:row>
    <x:row r="10" ht="26" customHeight="1">
      <x:c r="A10" s="35" t="str">
        <x:v>7</x:v>
      </x:c>
      <x:c r="B10" t="str">
        <x:v>Una calidad alta no garantiza seguridad; requiere aprobación humana.</x:v>
      </x:c>
    </x:row>
    <x:row r="11" ht="26" customHeight="1">
      <x:c r="A11" s="35" t="str">
        <x:v>8</x:v>
      </x:c>
      <x:c r="B11" t="str">
        <x:v>Con tres ejecuciones solo puedes presentar hallazgos exploratorios.</x:v>
      </x:c>
    </x:row>
  </x:sheetData>
  <x:mergeCells>
    <x:mergeCell ref="A1:F2"/>
  </x:mergeCells>
  <x:pageMargins left="0.7" right="0.7" top="0.75" bottom="0.75" header="0.3" footer="0.3"/>
</x:worksheet>
</file>